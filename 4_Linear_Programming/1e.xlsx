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E" sheetId="1" r:id="rId5"/>
    <sheet state="hidden" name="__OpenSolverCache__" sheetId="2" r:id="rId6"/>
    <sheet state="hidden" name="__OpenSolver__" sheetId="3" r:id="rId7"/>
  </sheets>
  <definedNames/>
  <calcPr/>
</workbook>
</file>

<file path=xl/sharedStrings.xml><?xml version="1.0" encoding="utf-8"?>
<sst xmlns="http://schemas.openxmlformats.org/spreadsheetml/2006/main" count="17" uniqueCount="17">
  <si>
    <t>maximise</t>
  </si>
  <si>
    <t>y</t>
  </si>
  <si>
    <t>s.t.</t>
  </si>
  <si>
    <t>1x + 2y ≥ 10</t>
  </si>
  <si>
    <t>1x + 5y ≤ 15</t>
  </si>
  <si>
    <t>x ≥ 0</t>
  </si>
  <si>
    <t>y≥ 0</t>
  </si>
  <si>
    <t>objective function</t>
  </si>
  <si>
    <t>max</t>
  </si>
  <si>
    <t>Decision Variables</t>
  </si>
  <si>
    <t>Vests</t>
  </si>
  <si>
    <t>Life Boats</t>
  </si>
  <si>
    <t>Constraints</t>
  </si>
  <si>
    <t>Capacity</t>
  </si>
  <si>
    <t>≥</t>
  </si>
  <si>
    <t>Volume</t>
  </si>
  <si>
    <t>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</si>
</sst>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rial"/>
      <scheme val="minor"/>
    </font>
    <font>
      <sz val="12.0"/>
      <color rgb="FF000000"/>
      <name val="Arial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0" numFmtId="0" xfId="0" applyFont="1"/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4"/>
      <c r="B3" s="3" t="s">
        <v>4</v>
      </c>
    </row>
    <row r="4">
      <c r="A4" s="4"/>
      <c r="B4" s="3" t="s">
        <v>5</v>
      </c>
    </row>
    <row r="5">
      <c r="A5" s="4"/>
      <c r="B5" s="3" t="s">
        <v>6</v>
      </c>
    </row>
    <row r="6">
      <c r="A6" s="5"/>
      <c r="B6" s="5"/>
    </row>
    <row r="7">
      <c r="A7" s="1" t="s">
        <v>7</v>
      </c>
      <c r="B7" s="5"/>
    </row>
    <row r="8">
      <c r="A8" s="4" t="s">
        <v>8</v>
      </c>
      <c r="B8" s="5">
        <f>B12</f>
        <v>1.666666667</v>
      </c>
    </row>
    <row r="10">
      <c r="A10" s="4" t="s">
        <v>9</v>
      </c>
      <c r="B10" s="5"/>
      <c r="C10" s="5"/>
    </row>
    <row r="11">
      <c r="A11" s="4" t="s">
        <v>10</v>
      </c>
      <c r="B11" s="2">
        <v>6.666666666666659</v>
      </c>
      <c r="C11" s="2"/>
    </row>
    <row r="12">
      <c r="A12" s="4" t="s">
        <v>11</v>
      </c>
      <c r="B12" s="2">
        <v>1.666666666666671</v>
      </c>
      <c r="C12" s="5"/>
    </row>
    <row r="14">
      <c r="A14" s="4" t="s">
        <v>12</v>
      </c>
      <c r="B14" s="5"/>
      <c r="C14" s="5"/>
      <c r="D14" s="5"/>
    </row>
    <row r="15">
      <c r="A15" s="4" t="s">
        <v>13</v>
      </c>
      <c r="B15" s="5">
        <f>B11+2*B12</f>
        <v>10</v>
      </c>
      <c r="C15" s="5" t="s">
        <v>14</v>
      </c>
      <c r="D15" s="5">
        <v>10.0</v>
      </c>
    </row>
    <row r="16">
      <c r="A16" s="4" t="s">
        <v>15</v>
      </c>
      <c r="B16" s="5">
        <f>B11+5*B12</f>
        <v>15</v>
      </c>
      <c r="C16" s="5" t="s">
        <v>16</v>
      </c>
      <c r="D16" s="5">
        <v>15.0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7" t="str">
        <f>ModelSheet=OneE!A:Z</f>
        <v>#NAME?</v>
      </c>
    </row>
    <row r="2">
      <c r="A2" s="7" t="str">
        <f>OpenSolver_AdjNum=1</f>
        <v>#NAME?</v>
      </c>
    </row>
    <row r="3">
      <c r="A3" s="7" t="str">
        <f>OpenSolver_ChosenSolver=Google</f>
        <v>#NAME?</v>
      </c>
    </row>
    <row r="4">
      <c r="A4" s="7" t="str">
        <f>OpenSolver_FastBuild=0</f>
        <v>#NAME?</v>
      </c>
    </row>
    <row r="5">
      <c r="A5" s="7" t="str">
        <f>OpenSolver_LinearityCheck=0</f>
        <v>#NAME?</v>
      </c>
    </row>
    <row r="6">
      <c r="A6" s="7" t="str">
        <f>solver_adj=OneE!B11:B12</f>
        <v>#NAME?</v>
      </c>
    </row>
    <row r="7">
      <c r="A7" s="7" t="str">
        <f>solver_lhs1=OneE!B15</f>
        <v>#NAME?</v>
      </c>
    </row>
    <row r="8">
      <c r="A8" s="7" t="str">
        <f>solver_lhs2=OneE!B16</f>
        <v>#NAME?</v>
      </c>
    </row>
    <row r="9">
      <c r="A9" s="7" t="str">
        <f>solver_neg=1</f>
        <v>#NAME?</v>
      </c>
    </row>
    <row r="10">
      <c r="A10" s="7" t="str">
        <f>solver_num=2</f>
        <v>#NAME?</v>
      </c>
    </row>
    <row r="11">
      <c r="A11" s="7" t="str">
        <f>solver_opt=OneE!B8</f>
        <v>#NAME?</v>
      </c>
    </row>
    <row r="12">
      <c r="A12" s="7" t="str">
        <f>solver_rel1=3</f>
        <v>#NAME?</v>
      </c>
    </row>
    <row r="13">
      <c r="A13" s="7" t="str">
        <f>solver_rel2=1</f>
        <v>#NAME?</v>
      </c>
    </row>
    <row r="14">
      <c r="A14" s="7" t="str">
        <f>solver_rhs1=OneE!D15</f>
        <v>#NAME?</v>
      </c>
    </row>
    <row r="15">
      <c r="A15" s="7" t="str">
        <f>solver_rhs2=OneE!D16</f>
        <v>#NAME?</v>
      </c>
    </row>
    <row r="16">
      <c r="A16" s="7" t="str">
        <f>solver_sho=1</f>
        <v>#NAME?</v>
      </c>
    </row>
    <row r="17">
      <c r="A17" s="7" t="str">
        <f>solver_typ=1</f>
        <v>#NAME?</v>
      </c>
    </row>
    <row r="18">
      <c r="A18" s="7" t="str">
        <f>solver_val=0</f>
        <v>#NAME?</v>
      </c>
    </row>
  </sheetData>
  <drawing r:id="rId1"/>
</worksheet>
</file>