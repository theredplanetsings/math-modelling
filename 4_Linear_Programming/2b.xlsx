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oB" sheetId="1" r:id="rId5"/>
    <sheet state="hidden" name="__OpenSolverCache__" sheetId="2" r:id="rId6"/>
    <sheet state="hidden" name="__OpenSolver__" sheetId="3" r:id="rId7"/>
  </sheets>
  <definedNames/>
  <calcPr/>
</workbook>
</file>

<file path=xl/sharedStrings.xml><?xml version="1.0" encoding="utf-8"?>
<sst xmlns="http://schemas.openxmlformats.org/spreadsheetml/2006/main" count="23" uniqueCount="18">
  <si>
    <t>max</t>
  </si>
  <si>
    <t>30a + 12b + 15c</t>
  </si>
  <si>
    <t>s.t</t>
  </si>
  <si>
    <t>9a+3b+ 5c ≤ 500</t>
  </si>
  <si>
    <t>5a + 4b ≤ 350</t>
  </si>
  <si>
    <t>3a + 2c ≤ 150</t>
  </si>
  <si>
    <t>c ≤ 20</t>
  </si>
  <si>
    <t>a, b, c ≥ 0</t>
  </si>
  <si>
    <t>objective function</t>
  </si>
  <si>
    <t>Decision variables</t>
  </si>
  <si>
    <t>a (p1)</t>
  </si>
  <si>
    <t>b (p2)</t>
  </si>
  <si>
    <t>c (p3)</t>
  </si>
  <si>
    <t>constraints</t>
  </si>
  <si>
    <t>Mailing machine</t>
  </si>
  <si>
    <t>≤</t>
  </si>
  <si>
    <t>Lathe</t>
  </si>
  <si>
    <t>Grinder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</si>
</sst>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A1" s="1" t="s">
        <v>0</v>
      </c>
      <c r="B1" s="1" t="s">
        <v>1</v>
      </c>
      <c r="C1" s="1"/>
      <c r="D1" s="1"/>
    </row>
    <row r="2">
      <c r="A2" s="1" t="s">
        <v>2</v>
      </c>
      <c r="B2" s="1" t="s">
        <v>3</v>
      </c>
      <c r="C2" s="1"/>
      <c r="D2" s="1"/>
    </row>
    <row r="3">
      <c r="A3" s="1"/>
      <c r="B3" s="1" t="s">
        <v>4</v>
      </c>
      <c r="C3" s="1"/>
      <c r="D3" s="1"/>
    </row>
    <row r="4">
      <c r="A4" s="1"/>
      <c r="B4" s="1" t="s">
        <v>5</v>
      </c>
      <c r="C4" s="1"/>
      <c r="D4" s="1"/>
    </row>
    <row r="5">
      <c r="A5" s="1"/>
      <c r="B5" s="1" t="s">
        <v>6</v>
      </c>
      <c r="C5" s="1"/>
      <c r="D5" s="1"/>
    </row>
    <row r="6">
      <c r="A6" s="1"/>
      <c r="B6" s="1" t="s">
        <v>7</v>
      </c>
      <c r="C6" s="1"/>
      <c r="D6" s="1"/>
    </row>
    <row r="7">
      <c r="A7" s="1"/>
      <c r="B7" s="1"/>
      <c r="C7" s="1"/>
      <c r="D7" s="1"/>
    </row>
    <row r="8">
      <c r="A8" s="1"/>
      <c r="B8" s="1"/>
      <c r="C8" s="1"/>
      <c r="D8" s="1"/>
    </row>
    <row r="9">
      <c r="A9" s="1"/>
      <c r="B9" s="1"/>
      <c r="C9" s="1"/>
      <c r="D9" s="1"/>
    </row>
    <row r="10">
      <c r="A10" s="1" t="s">
        <v>8</v>
      </c>
      <c r="B10" s="1"/>
      <c r="C10" s="1"/>
      <c r="D10" s="1"/>
    </row>
    <row r="11">
      <c r="A11" s="1" t="s">
        <v>0</v>
      </c>
      <c r="B11" s="2">
        <f>30*B14+12*B15+15*B16</f>
        <v>1742.857143</v>
      </c>
      <c r="C11" s="1"/>
      <c r="D11" s="1"/>
    </row>
    <row r="12">
      <c r="A12" s="1"/>
      <c r="B12" s="1"/>
      <c r="C12" s="1"/>
      <c r="D12" s="1"/>
    </row>
    <row r="13">
      <c r="A13" s="1" t="s">
        <v>9</v>
      </c>
      <c r="B13" s="1"/>
      <c r="C13" s="1"/>
      <c r="D13" s="1"/>
    </row>
    <row r="14">
      <c r="A14" s="1" t="s">
        <v>10</v>
      </c>
      <c r="B14" s="3">
        <v>26.190476190476186</v>
      </c>
      <c r="C14" s="1"/>
      <c r="D14" s="1"/>
    </row>
    <row r="15">
      <c r="A15" s="1" t="s">
        <v>11</v>
      </c>
      <c r="B15" s="3">
        <v>54.761904761904766</v>
      </c>
      <c r="C15" s="1"/>
      <c r="D15" s="1"/>
    </row>
    <row r="16">
      <c r="A16" s="1" t="s">
        <v>12</v>
      </c>
      <c r="B16" s="3">
        <v>20.0</v>
      </c>
      <c r="C16" s="1"/>
      <c r="D16" s="1"/>
    </row>
    <row r="17">
      <c r="A17" s="1"/>
      <c r="B17" s="1"/>
      <c r="C17" s="1"/>
      <c r="D17" s="1"/>
    </row>
    <row r="18">
      <c r="A18" s="1" t="s">
        <v>13</v>
      </c>
      <c r="B18" s="1"/>
      <c r="C18" s="1"/>
      <c r="D18" s="1"/>
    </row>
    <row r="19">
      <c r="A19" s="1" t="s">
        <v>14</v>
      </c>
      <c r="B19" s="2">
        <f>9*B14+3*B15+5*B16</f>
        <v>500</v>
      </c>
      <c r="C19" s="1" t="s">
        <v>15</v>
      </c>
      <c r="D19" s="2">
        <v>500.0</v>
      </c>
    </row>
    <row r="20">
      <c r="A20" s="1" t="s">
        <v>16</v>
      </c>
      <c r="B20" s="2">
        <f>5*B14+4*B15</f>
        <v>350</v>
      </c>
      <c r="C20" s="1" t="s">
        <v>15</v>
      </c>
      <c r="D20" s="2">
        <v>350.0</v>
      </c>
    </row>
    <row r="21">
      <c r="A21" s="1" t="s">
        <v>17</v>
      </c>
      <c r="B21" s="2">
        <f>3*B14+2*B16</f>
        <v>118.5714286</v>
      </c>
      <c r="C21" s="1" t="s">
        <v>15</v>
      </c>
      <c r="D21" s="2">
        <v>150.0</v>
      </c>
    </row>
    <row r="22">
      <c r="A22" s="4" t="s">
        <v>6</v>
      </c>
      <c r="B22" s="5">
        <f>B16</f>
        <v>20</v>
      </c>
      <c r="C22" s="1" t="s">
        <v>15</v>
      </c>
      <c r="D22" s="4">
        <v>20.0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A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A1" s="5" t="str">
        <f>ModelSheet=OneE!A:Z</f>
        <v>#NAME?</v>
      </c>
      <c r="B1" s="5" t="str">
        <f>ModelSheet=TwoB!A:Z</f>
        <v>#NAME?</v>
      </c>
    </row>
    <row r="2">
      <c r="A2" s="5" t="str">
        <f t="shared" ref="A2:B2" si="1">OpenSolver_AdjNum=1</f>
        <v>#NAME?</v>
      </c>
      <c r="B2" s="5" t="str">
        <f t="shared" si="1"/>
        <v>#NAME?</v>
      </c>
    </row>
    <row r="3">
      <c r="A3" s="5" t="str">
        <f t="shared" ref="A3:B3" si="2">OpenSolver_ChosenSolver=Google</f>
        <v>#NAME?</v>
      </c>
      <c r="B3" s="5" t="str">
        <f t="shared" si="2"/>
        <v>#NAME?</v>
      </c>
    </row>
    <row r="4">
      <c r="A4" s="5" t="str">
        <f t="shared" ref="A4:B4" si="3">OpenSolver_FastBuild=0</f>
        <v>#NAME?</v>
      </c>
      <c r="B4" s="5" t="str">
        <f t="shared" si="3"/>
        <v>#NAME?</v>
      </c>
    </row>
    <row r="5">
      <c r="A5" s="5" t="str">
        <f>OpenSolver_LinearityCheck=0</f>
        <v>#NAME?</v>
      </c>
      <c r="B5" s="5" t="str">
        <f>OpenSolver_LinearityCheck=1</f>
        <v>#NAME?</v>
      </c>
    </row>
    <row r="6">
      <c r="A6" s="5" t="str">
        <f>solver_adj=OneE!B11:B12</f>
        <v>#NAME?</v>
      </c>
      <c r="B6" s="5" t="str">
        <f>solver_adj=TwoB!B14:B16</f>
        <v>#NAME?</v>
      </c>
    </row>
    <row r="7">
      <c r="A7" s="5" t="str">
        <f>solver_lhs1=OneE!B15</f>
        <v>#NAME?</v>
      </c>
      <c r="B7" s="5" t="str">
        <f>solver_lhs1=TwoB!B22</f>
        <v>#NAME?</v>
      </c>
    </row>
    <row r="8">
      <c r="A8" s="5" t="str">
        <f>solver_lhs2=OneE!B16</f>
        <v>#NAME?</v>
      </c>
      <c r="B8" s="5" t="str">
        <f>solver_lhs2=TwoB!B19</f>
        <v>#NAME?</v>
      </c>
    </row>
    <row r="9">
      <c r="A9" s="5" t="str">
        <f>solver_neg=1</f>
        <v>#NAME?</v>
      </c>
      <c r="B9" s="5" t="str">
        <f>solver_lhs3=TwoB!B20</f>
        <v>#NAME?</v>
      </c>
    </row>
    <row r="10">
      <c r="A10" s="5" t="str">
        <f>solver_num=2</f>
        <v>#NAME?</v>
      </c>
      <c r="B10" s="5" t="str">
        <f>solver_lhs4=TwoB!B21</f>
        <v>#NAME?</v>
      </c>
    </row>
    <row r="11">
      <c r="A11" s="5" t="str">
        <f>solver_opt=OneE!B8</f>
        <v>#NAME?</v>
      </c>
      <c r="B11" s="5" t="str">
        <f>solver_neg=1</f>
        <v>#NAME?</v>
      </c>
    </row>
    <row r="12">
      <c r="A12" s="5" t="str">
        <f>solver_rel1=3</f>
        <v>#NAME?</v>
      </c>
      <c r="B12" s="5" t="str">
        <f>solver_num=4</f>
        <v>#NAME?</v>
      </c>
    </row>
    <row r="13">
      <c r="A13" s="5" t="str">
        <f>solver_rel2=1</f>
        <v>#NAME?</v>
      </c>
      <c r="B13" s="5" t="str">
        <f>solver_opt=TwoB!B11</f>
        <v>#NAME?</v>
      </c>
    </row>
    <row r="14">
      <c r="A14" s="5" t="str">
        <f>solver_rhs1=OneE!D15</f>
        <v>#NAME?</v>
      </c>
      <c r="B14" s="5" t="str">
        <f>solver_rel1=1</f>
        <v>#NAME?</v>
      </c>
    </row>
    <row r="15">
      <c r="A15" s="5" t="str">
        <f>solver_rhs2=OneE!D16</f>
        <v>#NAME?</v>
      </c>
      <c r="B15" s="5" t="str">
        <f>solver_rel2=1</f>
        <v>#NAME?</v>
      </c>
    </row>
    <row r="16">
      <c r="A16" s="5" t="str">
        <f>solver_sho=1</f>
        <v>#NAME?</v>
      </c>
      <c r="B16" s="5" t="str">
        <f>solver_rel3=1</f>
        <v>#NAME?</v>
      </c>
    </row>
    <row r="17">
      <c r="A17" s="5" t="str">
        <f>solver_typ=1</f>
        <v>#NAME?</v>
      </c>
      <c r="B17" s="5" t="str">
        <f>solver_rel4=1</f>
        <v>#NAME?</v>
      </c>
    </row>
    <row r="18">
      <c r="A18" s="5" t="str">
        <f>solver_val=0</f>
        <v>#NAME?</v>
      </c>
      <c r="B18" s="5" t="str">
        <f>solver_rhs1=TwoB!D22</f>
        <v>#NAME?</v>
      </c>
    </row>
    <row r="19">
      <c r="B19" s="5" t="str">
        <f>solver_rhs2=TwoB!D19</f>
        <v>#NAME?</v>
      </c>
    </row>
    <row r="20">
      <c r="B20" s="5" t="str">
        <f>solver_rhs3=TwoB!D20</f>
        <v>#NAME?</v>
      </c>
    </row>
    <row r="21">
      <c r="B21" s="5" t="str">
        <f>solver_rhs4=TwoB!D21</f>
        <v>#NAME?</v>
      </c>
    </row>
    <row r="22">
      <c r="B22" s="5" t="str">
        <f>solver_sho=1</f>
        <v>#NAME?</v>
      </c>
    </row>
    <row r="23">
      <c r="B23" s="5" t="str">
        <f>solver_typ=1</f>
        <v>#NAME?</v>
      </c>
    </row>
    <row r="24">
      <c r="B24" s="5" t="str">
        <f>solver_val=0</f>
        <v>#NAME?</v>
      </c>
    </row>
  </sheetData>
  <drawing r:id="rId1"/>
</worksheet>
</file>